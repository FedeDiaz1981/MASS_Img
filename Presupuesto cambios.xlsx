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<sst xmlns="http://schemas.openxmlformats.org/spreadsheetml/2006/main" count="34" uniqueCount="16">
  <si>
    <t>VISOR DESDE CERO</t>
  </si>
  <si>
    <t>Botones</t>
  </si>
  <si>
    <t>Foto</t>
  </si>
  <si>
    <t>Consultas</t>
  </si>
  <si>
    <t>Cantidad total</t>
  </si>
  <si>
    <t>Filtros conectados</t>
  </si>
  <si>
    <t>Filtros conectados con estilo</t>
  </si>
  <si>
    <t>maqueta HTML</t>
  </si>
  <si>
    <t xml:space="preserve">contador de documentos </t>
  </si>
  <si>
    <t>pruebas</t>
  </si>
  <si>
    <t>VISOR REUTILIZANDO DATOS</t>
  </si>
  <si>
    <t>VISOR EJECUTIVO</t>
  </si>
  <si>
    <t xml:space="preserve">CAMBIOS A VISOR ACTUAL </t>
  </si>
  <si>
    <t>Toolkit</t>
  </si>
  <si>
    <t>Cantidad enel botrón de filtrar</t>
  </si>
  <si>
    <t>Columna estado documento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</si>
</sst>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$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>
        <v>15.0</v>
      </c>
      <c r="C2" s="1">
        <v>0.1</v>
      </c>
      <c r="D2" s="3">
        <f t="shared" ref="D2:D9" si="1">B2*C2</f>
        <v>1.5</v>
      </c>
      <c r="E2" s="1">
        <v>5.0</v>
      </c>
      <c r="F2" s="3">
        <f t="shared" ref="F2:F9" si="2">D2*E2</f>
        <v>7.5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1">
        <v>1.0</v>
      </c>
      <c r="C3" s="1">
        <v>0.083</v>
      </c>
      <c r="D3" s="3">
        <f t="shared" si="1"/>
        <v>0.083</v>
      </c>
      <c r="E3" s="1">
        <v>5.0</v>
      </c>
      <c r="F3" s="3">
        <f t="shared" si="2"/>
        <v>0.415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1">
        <v>1.0</v>
      </c>
      <c r="C4" s="1">
        <v>24.0</v>
      </c>
      <c r="D4" s="3">
        <f t="shared" si="1"/>
        <v>24</v>
      </c>
      <c r="E4" s="1">
        <v>1.0</v>
      </c>
      <c r="F4" s="3">
        <f t="shared" si="2"/>
        <v>24</v>
      </c>
      <c r="G4" s="2"/>
      <c r="H4" s="1" t="s">
        <v>4</v>
      </c>
      <c r="I4" s="4">
        <f>SUM(F2:F9)</f>
        <v>48.925</v>
      </c>
      <c r="J4" s="5">
        <f>I4*18000</f>
        <v>880650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5</v>
      </c>
      <c r="B5" s="1">
        <v>3.0</v>
      </c>
      <c r="C5" s="1">
        <v>0.67</v>
      </c>
      <c r="D5" s="3">
        <f t="shared" si="1"/>
        <v>2.01</v>
      </c>
      <c r="E5" s="1">
        <v>1.0</v>
      </c>
      <c r="F5" s="3">
        <f t="shared" si="2"/>
        <v>2.01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6</v>
      </c>
      <c r="B6" s="1">
        <v>2.0</v>
      </c>
      <c r="C6" s="1">
        <v>1.5</v>
      </c>
      <c r="D6" s="3">
        <f t="shared" si="1"/>
        <v>3</v>
      </c>
      <c r="E6" s="1">
        <v>1.0</v>
      </c>
      <c r="F6" s="3">
        <f t="shared" si="2"/>
        <v>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7</v>
      </c>
      <c r="B7" s="1">
        <v>1.0</v>
      </c>
      <c r="C7" s="1">
        <v>6.0</v>
      </c>
      <c r="D7" s="3">
        <f t="shared" si="1"/>
        <v>6</v>
      </c>
      <c r="E7" s="1">
        <v>1.0</v>
      </c>
      <c r="F7" s="3">
        <f t="shared" si="2"/>
        <v>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8</v>
      </c>
      <c r="B8" s="1">
        <v>1.0</v>
      </c>
      <c r="C8" s="1">
        <v>2.0</v>
      </c>
      <c r="D8" s="3">
        <f t="shared" si="1"/>
        <v>2</v>
      </c>
      <c r="E8" s="1">
        <v>1.0</v>
      </c>
      <c r="F8" s="3">
        <f t="shared" si="2"/>
        <v>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9</v>
      </c>
      <c r="B9" s="1">
        <v>1.0</v>
      </c>
      <c r="C9" s="1">
        <v>4.0</v>
      </c>
      <c r="D9" s="3">
        <f t="shared" si="1"/>
        <v>4</v>
      </c>
      <c r="E9" s="1">
        <v>1.0</v>
      </c>
      <c r="F9" s="3">
        <f t="shared" si="2"/>
        <v>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3"/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</v>
      </c>
      <c r="B12" s="1">
        <v>15.0</v>
      </c>
      <c r="C12" s="1">
        <v>0.1</v>
      </c>
      <c r="D12" s="3">
        <f t="shared" ref="D12:D19" si="3">B12*C12</f>
        <v>1.5</v>
      </c>
      <c r="E12" s="1">
        <v>5.0</v>
      </c>
      <c r="F12" s="3">
        <f t="shared" ref="F12:F19" si="4">D12*E12</f>
        <v>7.5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</v>
      </c>
      <c r="B13" s="1">
        <v>1.0</v>
      </c>
      <c r="C13" s="1">
        <v>0.083</v>
      </c>
      <c r="D13" s="3">
        <f t="shared" si="3"/>
        <v>0.083</v>
      </c>
      <c r="E13" s="1">
        <v>5.0</v>
      </c>
      <c r="F13" s="3">
        <f t="shared" si="4"/>
        <v>0.415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3</v>
      </c>
      <c r="B14" s="1">
        <v>0.0</v>
      </c>
      <c r="C14" s="1">
        <v>24.0</v>
      </c>
      <c r="D14" s="3">
        <f t="shared" si="3"/>
        <v>0</v>
      </c>
      <c r="E14" s="1">
        <v>1.0</v>
      </c>
      <c r="F14" s="3">
        <f t="shared" si="4"/>
        <v>0</v>
      </c>
      <c r="G14" s="2"/>
      <c r="H14" s="1" t="s">
        <v>4</v>
      </c>
      <c r="I14" s="4">
        <f>SUM(F12:F19)</f>
        <v>24.925</v>
      </c>
      <c r="J14" s="5">
        <f>I14*18000</f>
        <v>448650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5</v>
      </c>
      <c r="B15" s="1">
        <v>3.0</v>
      </c>
      <c r="C15" s="1">
        <v>0.67</v>
      </c>
      <c r="D15" s="3">
        <f t="shared" si="3"/>
        <v>2.01</v>
      </c>
      <c r="E15" s="1">
        <v>1.0</v>
      </c>
      <c r="F15" s="3">
        <f t="shared" si="4"/>
        <v>2.01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6</v>
      </c>
      <c r="B16" s="1">
        <v>2.0</v>
      </c>
      <c r="C16" s="1">
        <v>1.5</v>
      </c>
      <c r="D16" s="3">
        <f t="shared" si="3"/>
        <v>3</v>
      </c>
      <c r="E16" s="1">
        <v>1.0</v>
      </c>
      <c r="F16" s="3">
        <f t="shared" si="4"/>
        <v>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7</v>
      </c>
      <c r="B17" s="1">
        <v>1.0</v>
      </c>
      <c r="C17" s="1">
        <v>6.0</v>
      </c>
      <c r="D17" s="3">
        <f t="shared" si="3"/>
        <v>6</v>
      </c>
      <c r="E17" s="1">
        <v>1.0</v>
      </c>
      <c r="F17" s="3">
        <f t="shared" si="4"/>
        <v>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8</v>
      </c>
      <c r="B18" s="1">
        <v>1.0</v>
      </c>
      <c r="C18" s="1">
        <v>2.0</v>
      </c>
      <c r="D18" s="3">
        <f t="shared" si="3"/>
        <v>2</v>
      </c>
      <c r="E18" s="1">
        <v>1.0</v>
      </c>
      <c r="F18" s="3">
        <f t="shared" si="4"/>
        <v>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9</v>
      </c>
      <c r="B19" s="1">
        <v>1.0</v>
      </c>
      <c r="C19" s="1">
        <v>4.0</v>
      </c>
      <c r="D19" s="3">
        <f t="shared" si="3"/>
        <v>4</v>
      </c>
      <c r="E19" s="1">
        <v>1.0</v>
      </c>
      <c r="F19" s="3">
        <f t="shared" si="4"/>
        <v>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3"/>
      <c r="E20" s="2"/>
      <c r="F20" s="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</v>
      </c>
      <c r="B22" s="1">
        <v>0.0</v>
      </c>
      <c r="C22" s="1">
        <v>0.1</v>
      </c>
      <c r="D22" s="3">
        <f t="shared" ref="D22:D29" si="5">B22*C22</f>
        <v>0</v>
      </c>
      <c r="E22" s="1">
        <v>5.0</v>
      </c>
      <c r="F22" s="3">
        <f t="shared" ref="F22:F29" si="6">D22*E22</f>
        <v>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</v>
      </c>
      <c r="B23" s="1">
        <v>0.0</v>
      </c>
      <c r="C23" s="1">
        <v>0.083</v>
      </c>
      <c r="D23" s="3">
        <f t="shared" si="5"/>
        <v>0</v>
      </c>
      <c r="E23" s="1">
        <v>5.0</v>
      </c>
      <c r="F23" s="3">
        <f t="shared" si="6"/>
        <v>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3</v>
      </c>
      <c r="B24" s="1">
        <v>0.0</v>
      </c>
      <c r="C24" s="1">
        <v>24.0</v>
      </c>
      <c r="D24" s="3">
        <f t="shared" si="5"/>
        <v>0</v>
      </c>
      <c r="E24" s="1">
        <v>1.0</v>
      </c>
      <c r="F24" s="3">
        <f t="shared" si="6"/>
        <v>0</v>
      </c>
      <c r="G24" s="2"/>
      <c r="H24" s="1" t="s">
        <v>4</v>
      </c>
      <c r="I24" s="4">
        <f>SUM(F22:F29)</f>
        <v>41.5</v>
      </c>
      <c r="J24" s="5">
        <f>I24*18000</f>
        <v>747000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5</v>
      </c>
      <c r="B25" s="1">
        <v>0.0</v>
      </c>
      <c r="C25" s="1">
        <v>0.67</v>
      </c>
      <c r="D25" s="3">
        <f t="shared" si="5"/>
        <v>0</v>
      </c>
      <c r="E25" s="1">
        <v>1.0</v>
      </c>
      <c r="F25" s="3">
        <f t="shared" si="6"/>
        <v>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6</v>
      </c>
      <c r="B26" s="1">
        <v>9.0</v>
      </c>
      <c r="C26" s="1">
        <v>1.5</v>
      </c>
      <c r="D26" s="3">
        <f t="shared" si="5"/>
        <v>13.5</v>
      </c>
      <c r="E26" s="1">
        <v>1.0</v>
      </c>
      <c r="F26" s="3">
        <f t="shared" si="6"/>
        <v>13.5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7</v>
      </c>
      <c r="B27" s="1">
        <v>1.0</v>
      </c>
      <c r="C27" s="1">
        <v>6.0</v>
      </c>
      <c r="D27" s="3">
        <f t="shared" si="5"/>
        <v>6</v>
      </c>
      <c r="E27" s="1">
        <v>1.0</v>
      </c>
      <c r="F27" s="3">
        <f t="shared" si="6"/>
        <v>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8</v>
      </c>
      <c r="B28" s="1">
        <v>9.0</v>
      </c>
      <c r="C28" s="1">
        <v>2.0</v>
      </c>
      <c r="D28" s="3">
        <f t="shared" si="5"/>
        <v>18</v>
      </c>
      <c r="E28" s="1">
        <v>1.0</v>
      </c>
      <c r="F28" s="3">
        <f t="shared" si="6"/>
        <v>18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9</v>
      </c>
      <c r="B29" s="1">
        <v>1.0</v>
      </c>
      <c r="C29" s="1">
        <v>4.0</v>
      </c>
      <c r="D29" s="3">
        <f t="shared" si="5"/>
        <v>4</v>
      </c>
      <c r="E29" s="1">
        <v>1.0</v>
      </c>
      <c r="F29" s="3">
        <f t="shared" si="6"/>
        <v>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3"/>
      <c r="E30" s="2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3"/>
      <c r="E31" s="2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13</v>
      </c>
      <c r="B33" s="2"/>
      <c r="C33" s="2"/>
      <c r="D33" s="3">
        <f t="shared" ref="D33:D53" si="7">B33*C33</f>
        <v>0</v>
      </c>
      <c r="E33" s="2"/>
      <c r="F33" s="3">
        <f t="shared" ref="F33:F53" si="8">D33*E33</f>
        <v>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14</v>
      </c>
      <c r="B34" s="2"/>
      <c r="C34" s="2"/>
      <c r="D34" s="3">
        <f t="shared" si="7"/>
        <v>0</v>
      </c>
      <c r="E34" s="2"/>
      <c r="F34" s="3">
        <f t="shared" si="8"/>
        <v>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15</v>
      </c>
      <c r="B35" s="2"/>
      <c r="C35" s="2"/>
      <c r="D35" s="3">
        <f t="shared" si="7"/>
        <v>0</v>
      </c>
      <c r="E35" s="2"/>
      <c r="F35" s="3">
        <f t="shared" si="8"/>
        <v>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3">
        <f t="shared" si="7"/>
        <v>0</v>
      </c>
      <c r="E36" s="2"/>
      <c r="F36" s="3">
        <f t="shared" si="8"/>
        <v>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3">
        <f t="shared" si="7"/>
        <v>0</v>
      </c>
      <c r="E37" s="2"/>
      <c r="F37" s="3">
        <f t="shared" si="8"/>
        <v>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3">
        <f t="shared" si="7"/>
        <v>0</v>
      </c>
      <c r="E38" s="2"/>
      <c r="F38" s="3">
        <f t="shared" si="8"/>
        <v>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3">
        <f t="shared" si="7"/>
        <v>0</v>
      </c>
      <c r="E39" s="2"/>
      <c r="F39" s="3">
        <f t="shared" si="8"/>
        <v>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3">
        <f t="shared" si="7"/>
        <v>0</v>
      </c>
      <c r="E40" s="2"/>
      <c r="F40" s="3">
        <f t="shared" si="8"/>
        <v>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3">
        <f t="shared" si="7"/>
        <v>0</v>
      </c>
      <c r="E41" s="2"/>
      <c r="F41" s="3">
        <f t="shared" si="8"/>
        <v>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3">
        <f t="shared" si="7"/>
        <v>0</v>
      </c>
      <c r="E42" s="2"/>
      <c r="F42" s="3">
        <f t="shared" si="8"/>
        <v>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3">
        <f t="shared" si="7"/>
        <v>0</v>
      </c>
      <c r="E43" s="2"/>
      <c r="F43" s="3">
        <f t="shared" si="8"/>
        <v>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3">
        <f t="shared" si="7"/>
        <v>0</v>
      </c>
      <c r="E44" s="2"/>
      <c r="F44" s="3">
        <f t="shared" si="8"/>
        <v>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3">
        <f t="shared" si="7"/>
        <v>0</v>
      </c>
      <c r="E45" s="2"/>
      <c r="F45" s="3">
        <f t="shared" si="8"/>
        <v>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3">
        <f t="shared" si="7"/>
        <v>0</v>
      </c>
      <c r="E46" s="2"/>
      <c r="F46" s="3">
        <f t="shared" si="8"/>
        <v>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3">
        <f t="shared" si="7"/>
        <v>0</v>
      </c>
      <c r="E47" s="2"/>
      <c r="F47" s="3">
        <f t="shared" si="8"/>
        <v>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3">
        <f t="shared" si="7"/>
        <v>0</v>
      </c>
      <c r="E48" s="2"/>
      <c r="F48" s="3">
        <f t="shared" si="8"/>
        <v>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3">
        <f t="shared" si="7"/>
        <v>0</v>
      </c>
      <c r="E49" s="2"/>
      <c r="F49" s="3">
        <f t="shared" si="8"/>
        <v>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3">
        <f t="shared" si="7"/>
        <v>0</v>
      </c>
      <c r="E50" s="2"/>
      <c r="F50" s="3">
        <f t="shared" si="8"/>
        <v>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3">
        <f t="shared" si="7"/>
        <v>0</v>
      </c>
      <c r="E51" s="2"/>
      <c r="F51" s="3">
        <f t="shared" si="8"/>
        <v>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3">
        <f t="shared" si="7"/>
        <v>0</v>
      </c>
      <c r="E52" s="2"/>
      <c r="F52" s="3">
        <f t="shared" si="8"/>
        <v>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3">
        <f t="shared" si="7"/>
        <v>0</v>
      </c>
      <c r="E53" s="2"/>
      <c r="F53" s="3">
        <f t="shared" si="8"/>
        <v>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3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3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3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3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3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3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3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3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3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3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3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3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3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3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3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3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3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3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3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3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3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3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3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3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3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3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3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3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3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3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3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3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3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3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3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3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3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3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3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3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3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3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3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3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3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3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3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3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3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3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3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3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3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3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3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3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3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3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3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3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3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3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3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3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3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3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3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3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3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3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3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3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3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3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3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3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3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3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3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3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3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3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3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3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3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3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3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3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3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3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3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3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3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3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3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3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3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3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3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3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3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3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3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3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3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3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3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3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3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3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3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3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3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3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3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3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3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3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3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3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3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3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3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3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3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3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3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3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3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3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3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3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3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3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3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3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3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3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3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3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3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3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3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3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3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3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3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3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3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3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3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3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3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3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3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3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3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3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3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3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3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3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3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3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3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3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3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3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3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3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3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3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3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3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3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3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3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3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3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3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3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3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3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3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3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3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3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3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3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3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3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3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3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3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3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3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3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3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3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3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3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3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3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3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3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3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3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3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3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3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3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3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3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3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3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3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3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3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3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3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3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3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3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3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3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3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3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3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3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3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3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3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3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3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3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3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3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3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3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3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3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3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3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3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3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3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3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3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3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3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3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3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3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3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3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3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3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3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3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3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3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3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3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3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3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3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3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3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3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3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3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3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3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3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3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3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3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3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3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3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3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3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3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3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3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3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3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3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3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3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3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3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3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3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3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3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3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3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3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3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3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3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3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3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3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3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3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3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3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3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3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3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3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3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3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3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3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3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3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3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3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3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3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3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3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3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3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3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3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3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3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3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3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3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3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3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3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3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3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3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3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3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3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3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3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3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3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3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3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3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3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3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3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3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3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3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3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3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3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3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3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3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3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3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3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3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3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3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3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3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3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3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3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3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3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3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3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3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3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3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3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3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3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3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3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3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3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3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3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3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3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3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3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3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3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3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3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3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3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3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3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3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3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3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3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3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3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3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3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3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3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3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3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3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3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3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3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3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3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3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3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3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3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3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3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3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3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3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3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3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3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3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3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3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3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3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3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3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3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3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3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3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3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3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3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3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3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3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3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3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3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3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3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3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3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3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3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3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3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3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3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3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3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3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3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3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3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3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3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3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3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3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3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3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3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3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3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3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3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3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3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3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3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3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3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3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3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3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3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3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3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3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3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3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3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3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3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3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3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3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3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3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3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3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3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3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3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3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3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3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3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3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3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3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3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3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3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3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3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3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3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3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3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3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3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3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3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3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3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3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3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3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3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3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3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3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3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3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3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3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3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3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3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3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3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3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3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3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3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3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3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3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3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3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3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3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3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3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3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3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3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3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3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3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3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3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3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3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3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3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3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3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3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3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3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3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3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3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3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3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3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3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3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3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3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3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3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3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3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3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3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3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3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3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3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3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3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3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3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3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3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3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3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3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3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3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3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3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3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3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3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3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3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3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3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3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3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3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3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3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3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3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3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3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3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3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3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3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3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3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3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3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3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3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3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3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3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3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3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3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3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3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3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3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3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3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3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3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3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3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3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3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3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3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3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3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3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3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3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3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3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3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3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3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3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3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3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3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3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3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3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3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3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3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3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3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3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3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3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3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3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3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3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3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3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3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3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3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3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3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3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3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3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3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3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3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3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3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3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3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3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3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3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3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3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3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3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3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3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3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3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3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3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3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3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3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3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3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3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3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3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3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3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3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3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3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3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3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3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3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3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3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3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3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3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3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3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3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3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3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3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3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3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3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3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3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3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3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3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3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3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3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3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3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3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3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3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3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3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3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3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3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3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3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3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3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3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3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3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3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3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3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3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3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3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3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3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3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3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3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3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3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3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3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3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3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3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3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3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3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3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3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3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3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3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3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3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3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3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3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3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3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3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3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3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3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3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3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3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3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3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3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3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3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3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3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3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3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3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3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3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3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3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3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3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3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3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3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3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3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3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3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3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3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3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3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3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3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3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3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3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3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3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3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3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3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3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3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3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3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3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3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3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3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3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3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3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3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3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3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3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3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3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3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3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3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3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3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3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3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3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3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3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3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3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3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3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3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3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3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3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3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3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3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3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3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3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3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3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3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3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3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3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3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3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3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3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3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3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3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3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3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3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3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3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3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3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3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3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3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3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3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3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3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3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3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3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3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3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3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3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3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3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3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3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3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3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3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3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3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3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3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3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3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3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3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3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3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3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3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3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3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3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3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3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3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3"/>
      <c r="E1000" s="2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F1"/>
    <mergeCell ref="A11:F11"/>
    <mergeCell ref="A21:F21"/>
    <mergeCell ref="A32:F32"/>
  </mergeCells>
  <drawing r:id="rId1"/>
</worksheet>
</file>